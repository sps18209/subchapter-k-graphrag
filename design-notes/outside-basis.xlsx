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side Basis" sheetId="1" state="visible" r:id="rId3"/>
    <sheet name="Validation (IRS Examples)" sheetId="2" state="visible" r:id="rId4"/>
    <sheet name="Authority &amp;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<sst xmlns="http://schemas.openxmlformats.org/spreadsheetml/2006/main" count="135" uniqueCount="127">
  <si>
    <t xml:space="preserve">Partner's Outside Basis — Sequenced Computation</t>
  </si>
  <si>
    <t xml:space="preserve">One partner, one tax year. Order and zero-floor per IRC §705 / §752 / §733 / §704(d) / §731(a). Blue = input.</t>
  </si>
  <si>
    <t xml:space="preserve">STEP A — BEGINNING BASIS</t>
  </si>
  <si>
    <t xml:space="preserve">Beginning outside basis (prior-year ending; never below 0)</t>
  </si>
  <si>
    <t xml:space="preserve">Treas. Reg. 1.705-1(a)</t>
  </si>
  <si>
    <t xml:space="preserve">STEP B — INCREASES (applied first)</t>
  </si>
  <si>
    <t xml:space="preserve">Cash contributed</t>
  </si>
  <si>
    <t xml:space="preserve">IRC §722</t>
  </si>
  <si>
    <t xml:space="preserve">Adjusted basis of property contributed</t>
  </si>
  <si>
    <t xml:space="preserve">IRC §722 / §723</t>
  </si>
  <si>
    <t xml:space="preserve">Increase in share of liabilities (deemed cash contribution)</t>
  </si>
  <si>
    <t xml:space="preserve">IRC §752(a)</t>
  </si>
  <si>
    <t xml:space="preserve">Distributive share of taxable income (incl. capital gain)</t>
  </si>
  <si>
    <t xml:space="preserve">IRC §705(a)(1)(A)</t>
  </si>
  <si>
    <t xml:space="preserve">Distributive share of tax-exempt income</t>
  </si>
  <si>
    <t xml:space="preserve">IRC §705(a)(1)(B)</t>
  </si>
  <si>
    <t xml:space="preserve">Excess percentage depletion</t>
  </si>
  <si>
    <t xml:space="preserve">IRC §705(a)(1)(C)</t>
  </si>
  <si>
    <t xml:space="preserve">Total increases</t>
  </si>
  <si>
    <t xml:space="preserve">Basis after increases</t>
  </si>
  <si>
    <t xml:space="preserve">Step B subtotal</t>
  </si>
  <si>
    <t xml:space="preserve">STEP C — DISTRIBUTIONS &amp; LIABILITY DECREASES (applied second)</t>
  </si>
  <si>
    <t xml:space="preserve">Cash distributed</t>
  </si>
  <si>
    <t xml:space="preserve">IRC §733</t>
  </si>
  <si>
    <t xml:space="preserve">Adjusted basis of property distributed</t>
  </si>
  <si>
    <t xml:space="preserve">IRC §733 / §732</t>
  </si>
  <si>
    <t xml:space="preserve">Decrease in share of liabilities (deemed cash distribution)</t>
  </si>
  <si>
    <t xml:space="preserve">IRC §752(b)</t>
  </si>
  <si>
    <t xml:space="preserve">Total distributions &amp; liability decreases</t>
  </si>
  <si>
    <t xml:space="preserve">Basis after distributions (zero-floor)</t>
  </si>
  <si>
    <t xml:space="preserve">Step C; floor at 0</t>
  </si>
  <si>
    <t xml:space="preserve">§731(a) gain on distributions exceeding basis</t>
  </si>
  <si>
    <t xml:space="preserve">IRC §731(a)</t>
  </si>
  <si>
    <t xml:space="preserve">STEP D — BASIS-REDUCING ITEMS (before loss limitation)</t>
  </si>
  <si>
    <t xml:space="preserve">Nondeductible, noncapital expenses</t>
  </si>
  <si>
    <t xml:space="preserve">IRC §705(a)(2)(B)</t>
  </si>
  <si>
    <t xml:space="preserve">Oil &amp; gas depletion</t>
  </si>
  <si>
    <t xml:space="preserve">IRC §705(a)(3)</t>
  </si>
  <si>
    <t xml:space="preserve">Basis available for losses (zero-floor)</t>
  </si>
  <si>
    <t xml:space="preserve">floor at 0</t>
  </si>
  <si>
    <t xml:space="preserve">STEP E — LOSS LIMITATION</t>
  </si>
  <si>
    <t xml:space="preserve">Distributive share of losses &amp; deductions</t>
  </si>
  <si>
    <t xml:space="preserve">IRC §705(a)(2)(A)</t>
  </si>
  <si>
    <t xml:space="preserve">Loss allowed this year</t>
  </si>
  <si>
    <t xml:space="preserve">IRC §704(d)</t>
  </si>
  <si>
    <t xml:space="preserve">Loss suspended / carried forward</t>
  </si>
  <si>
    <t xml:space="preserve">IRC §704(d) carryforward</t>
  </si>
  <si>
    <t xml:space="preserve">ENDING OUTSIDE BASIS</t>
  </si>
  <si>
    <t xml:space="preserve">≥ 0 by construction</t>
  </si>
  <si>
    <t xml:space="preserve">CROSS-CHECK — CAPITAL-ACCOUNT METHOD</t>
  </si>
  <si>
    <t xml:space="preserve">Ending tax-basis capital account</t>
  </si>
  <si>
    <t xml:space="preserve">Sch K-1 Item L</t>
  </si>
  <si>
    <t xml:space="preserve">Share of partnership liabilities</t>
  </si>
  <si>
    <t xml:space="preserve">Sch K-1 Item K; §752</t>
  </si>
  <si>
    <t xml:space="preserve">§743(b) adjustment (only if §754 election)</t>
  </si>
  <si>
    <t xml:space="preserve">IRC §743(b)/§754; K-1 20AH</t>
  </si>
  <si>
    <t xml:space="preserve">Outside basis (capital-account method)</t>
  </si>
  <si>
    <t xml:space="preserve">should tie to ending basis</t>
  </si>
  <si>
    <t xml:space="preserve">Difference (transactional vs capital-account)</t>
  </si>
  <si>
    <t xml:space="preserve">investigate if non-zero</t>
  </si>
  <si>
    <t xml:space="preserve">Note: a partner's capital account excludes liabilities and MAY be negative; outside basis includes the partner's share of liabilities (§752) and may NEVER be negative. Distributions in excess of basis are §731(a) gain; losses in excess of basis are suspended under §704(d). Where total losses + deductions exceed basis, Treas. Reg. 1.704-1(d)(2) allocates the limitation proportionately among loss/deduction types (not modeled line-by-line here).</t>
  </si>
  <si>
    <t xml:space="preserve">Self-validation against IRS LB&amp;I Process Unit PAR-P-002 (rev. 11/05/2024)</t>
  </si>
  <si>
    <t xml:space="preserve">Example 1 — Sally Smith (loss limitation &amp; suspension)</t>
  </si>
  <si>
    <t xml:space="preserve">Tax-basis capital account</t>
  </si>
  <si>
    <t xml:space="preserve">K-1 Item L</t>
  </si>
  <si>
    <t xml:space="preserve">Share of liabilities</t>
  </si>
  <si>
    <t xml:space="preserve">IRC §752</t>
  </si>
  <si>
    <t xml:space="preserve">Other basis item (per example)</t>
  </si>
  <si>
    <t xml:space="preserve">Outside basis</t>
  </si>
  <si>
    <t xml:space="preserve">estimate</t>
  </si>
  <si>
    <t xml:space="preserve">Distributive share of losses</t>
  </si>
  <si>
    <t xml:space="preserve">$120,000 + $5,000</t>
  </si>
  <si>
    <t xml:space="preserve">Loss allowed (§704(d))</t>
  </si>
  <si>
    <t xml:space="preserve">Loss suspended</t>
  </si>
  <si>
    <t xml:space="preserve">carryforward</t>
  </si>
  <si>
    <t xml:space="preserve">IRS expected: basis $45,000; suspended $80,000</t>
  </si>
  <si>
    <t xml:space="preserve">Example 2 — Joe Johnson (distribution in excess of basis)</t>
  </si>
  <si>
    <t xml:space="preserve">Reconstructed basis before distribution</t>
  </si>
  <si>
    <t xml:space="preserve">IRC §705</t>
  </si>
  <si>
    <t xml:space="preserve">Cash distribution</t>
  </si>
  <si>
    <t xml:space="preserve">§731(a) gain (excess over basis)</t>
  </si>
  <si>
    <t xml:space="preserve">Ending basis (zero-floor)</t>
  </si>
  <si>
    <t xml:space="preserve">IRS expected: §731(a) gain $220,000; ending basis $0</t>
  </si>
  <si>
    <t xml:space="preserve">Authority Map &amp; Ordering Rules</t>
  </si>
  <si>
    <t xml:space="preserve">Item</t>
  </si>
  <si>
    <t xml:space="preserve">Authority</t>
  </si>
  <si>
    <t xml:space="preserve">Note</t>
  </si>
  <si>
    <t xml:space="preserve">Initial basis — contribution</t>
  </si>
  <si>
    <t xml:space="preserve">IRC §722 / §721 / §723</t>
  </si>
  <si>
    <t xml:space="preserve">Cash + adjusted basis of contributed property; §721 nonrecognition; partnership takes carryover basis under §723.</t>
  </si>
  <si>
    <t xml:space="preserve">Initial basis — purchase</t>
  </si>
  <si>
    <t xml:space="preserve">IRC §742 / §1012</t>
  </si>
  <si>
    <t xml:space="preserve">Cost (cash + property) plus share of liabilities assumed.</t>
  </si>
  <si>
    <t xml:space="preserve">Initial basis — gift / inheritance</t>
  </si>
  <si>
    <t xml:space="preserve">IRC §742 / §1015 / §1014</t>
  </si>
  <si>
    <t xml:space="preserve">Gift = donor basis; inheritance = FMV at death (or alternate valuation date).</t>
  </si>
  <si>
    <t xml:space="preserve">Unitary basis</t>
  </si>
  <si>
    <t xml:space="preserve">Rev. Rul. 84-52</t>
  </si>
  <si>
    <t xml:space="preserve">A partner holding both a general and limited interest has one combined basis.</t>
  </si>
  <si>
    <t xml:space="preserve">Increase — liabilities</t>
  </si>
  <si>
    <t xml:space="preserve">Increase in share of recourse or nonrecourse liabilities = deemed cash contribution.</t>
  </si>
  <si>
    <t xml:space="preserve">Increase — income</t>
  </si>
  <si>
    <t xml:space="preserve">IRC §705(a)(1)(A)-(C)</t>
  </si>
  <si>
    <t xml:space="preserve">Taxable income (incl. capital gain), tax-exempt income, and excess percentage depletion.</t>
  </si>
  <si>
    <t xml:space="preserve">Decrease — distributions</t>
  </si>
  <si>
    <t xml:space="preserve">Cash and adjusted basis of property distributed.</t>
  </si>
  <si>
    <t xml:space="preserve">Decrease — liabilities</t>
  </si>
  <si>
    <t xml:space="preserve">Decrease in share of liabilities = deemed cash distribution.</t>
  </si>
  <si>
    <t xml:space="preserve">Decrease — losses/expenses</t>
  </si>
  <si>
    <t xml:space="preserve">IRC §705(a)(2)-(3)</t>
  </si>
  <si>
    <t xml:space="preserve">Distributive share of losses, nondeductible noncapital expenses, oil &amp; gas depletion.</t>
  </si>
  <si>
    <t xml:space="preserve">Loss limitation</t>
  </si>
  <si>
    <t xml:space="preserve">IRC §704(d); Treas. Reg. 1.704-1(d)(2)</t>
  </si>
  <si>
    <t xml:space="preserve">Losses allowed only to extent of basis; excess suspended; proportionate allocation across loss types.</t>
  </si>
  <si>
    <t xml:space="preserve">Excess distribution</t>
  </si>
  <si>
    <t xml:space="preserve">Distribution exceeding basis triggers gain (generally capital).</t>
  </si>
  <si>
    <t xml:space="preserve">TCJA charitable / FTC</t>
  </si>
  <si>
    <t xml:space="preserve">IRC §704(d)(3)</t>
  </si>
  <si>
    <t xml:space="preserve">Post-2017, charitable contributions and foreign taxes are inside the §704(d) limitation; donated built-in-gain property reduces basis only by share of the property's tax basis.</t>
  </si>
  <si>
    <t xml:space="preserve">Basis adjustment (transfer)</t>
  </si>
  <si>
    <t xml:space="preserve">IRC §743(b) / §754 / §755</t>
  </si>
  <si>
    <t xml:space="preserve">On transfer of an interest with a §754 election or substantial built-in loss; allocated among assets under §755.</t>
  </si>
  <si>
    <t xml:space="preserve">Basis adjustment (distribution)</t>
  </si>
  <si>
    <t xml:space="preserve">IRC §734(b) / §754 / §755</t>
  </si>
  <si>
    <t xml:space="preserve">On distribution with a §754 election or substantial basis reduction (&gt;$250k).</t>
  </si>
  <si>
    <t xml:space="preserve">ORDERING RULE (why sequence matters)</t>
  </si>
  <si>
    <t xml:space="preserve">Basis is FIRST increased by income, contributions, and liability increases; THEN decreased by distributions and liability decreases (floored at zero, excess = §731(a) gain); ONLY THEN are losses allowed to the extent of remaining basis (excess suspended under §704(d)). Reordering these steps changes the answer: a distribution can strip basis that would otherwise have absorbed a loss. Source: IRS LB&amp;I Process Unit, Partner's Outside Basis, DCN PAR-P-002, rev. 11/05/2024; IRS Pub. 541. Clean-room model; not tax or legal advice — verify before relying.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</si>
</sst>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color rgb="FF1F3864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26"/>
  </cols>
  <sheetData>
    <row r="1" customFormat="false" ht="17.35" hidden="false" customHeight="fals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B2" s="2" t="s">
        <v>1</v>
      </c>
      <c r="C2" s="2"/>
      <c r="D2" s="2"/>
    </row>
    <row r="4" customFormat="false" ht="15" hidden="false" customHeight="false" outlineLevel="0" collapsed="false">
      <c r="B4" s="3" t="s">
        <v>2</v>
      </c>
      <c r="C4" s="4"/>
      <c r="D4" s="4"/>
    </row>
    <row r="5" customFormat="false" ht="15" hidden="false" customHeight="false" outlineLevel="0" collapsed="false">
      <c r="B5" s="5" t="s">
        <v>3</v>
      </c>
      <c r="C5" s="6" t="n">
        <v>0</v>
      </c>
      <c r="D5" s="7" t="s">
        <v>4</v>
      </c>
    </row>
    <row r="7" customFormat="false" ht="15" hidden="false" customHeight="false" outlineLevel="0" collapsed="false">
      <c r="B7" s="3" t="s">
        <v>5</v>
      </c>
      <c r="C7" s="4"/>
      <c r="D7" s="4"/>
    </row>
    <row r="8" customFormat="false" ht="15" hidden="false" customHeight="false" outlineLevel="0" collapsed="false">
      <c r="B8" s="5" t="s">
        <v>6</v>
      </c>
      <c r="C8" s="6" t="n">
        <v>0</v>
      </c>
      <c r="D8" s="7" t="s">
        <v>7</v>
      </c>
    </row>
    <row r="9" customFormat="false" ht="15" hidden="false" customHeight="false" outlineLevel="0" collapsed="false">
      <c r="B9" s="5" t="s">
        <v>8</v>
      </c>
      <c r="C9" s="6" t="n">
        <v>0</v>
      </c>
      <c r="D9" s="7" t="s">
        <v>9</v>
      </c>
    </row>
    <row r="10" customFormat="false" ht="15" hidden="false" customHeight="false" outlineLevel="0" collapsed="false">
      <c r="B10" s="5" t="s">
        <v>10</v>
      </c>
      <c r="C10" s="6" t="n">
        <v>0</v>
      </c>
      <c r="D10" s="7" t="s">
        <v>11</v>
      </c>
    </row>
    <row r="11" customFormat="false" ht="15" hidden="false" customHeight="false" outlineLevel="0" collapsed="false">
      <c r="B11" s="5" t="s">
        <v>12</v>
      </c>
      <c r="C11" s="6" t="n">
        <v>0</v>
      </c>
      <c r="D11" s="7" t="s">
        <v>13</v>
      </c>
    </row>
    <row r="12" customFormat="false" ht="15" hidden="false" customHeight="false" outlineLevel="0" collapsed="false">
      <c r="B12" s="5" t="s">
        <v>14</v>
      </c>
      <c r="C12" s="6" t="n">
        <v>0</v>
      </c>
      <c r="D12" s="7" t="s">
        <v>15</v>
      </c>
    </row>
    <row r="13" customFormat="false" ht="15" hidden="false" customHeight="false" outlineLevel="0" collapsed="false">
      <c r="B13" s="5" t="s">
        <v>16</v>
      </c>
      <c r="C13" s="6" t="n">
        <v>0</v>
      </c>
      <c r="D13" s="7" t="s">
        <v>17</v>
      </c>
    </row>
    <row r="14" customFormat="false" ht="15" hidden="false" customHeight="false" outlineLevel="0" collapsed="false">
      <c r="B14" s="5" t="s">
        <v>18</v>
      </c>
      <c r="C14" s="8" t="n">
        <f aca="false">SUM(C8:C13)</f>
        <v>0</v>
      </c>
      <c r="D14" s="7"/>
    </row>
    <row r="15" customFormat="false" ht="15" hidden="false" customHeight="false" outlineLevel="0" collapsed="false">
      <c r="B15" s="9" t="s">
        <v>19</v>
      </c>
      <c r="C15" s="10" t="n">
        <f aca="false">C5+C14</f>
        <v>0</v>
      </c>
      <c r="D15" s="7" t="s">
        <v>20</v>
      </c>
    </row>
    <row r="17" customFormat="false" ht="15" hidden="false" customHeight="false" outlineLevel="0" collapsed="false">
      <c r="B17" s="3" t="s">
        <v>21</v>
      </c>
      <c r="C17" s="4"/>
      <c r="D17" s="4"/>
    </row>
    <row r="18" customFormat="false" ht="15" hidden="false" customHeight="false" outlineLevel="0" collapsed="false">
      <c r="B18" s="5" t="s">
        <v>22</v>
      </c>
      <c r="C18" s="6" t="n">
        <v>0</v>
      </c>
      <c r="D18" s="7" t="s">
        <v>23</v>
      </c>
    </row>
    <row r="19" customFormat="false" ht="15" hidden="false" customHeight="false" outlineLevel="0" collapsed="false">
      <c r="B19" s="5" t="s">
        <v>24</v>
      </c>
      <c r="C19" s="6" t="n">
        <v>0</v>
      </c>
      <c r="D19" s="7" t="s">
        <v>25</v>
      </c>
    </row>
    <row r="20" customFormat="false" ht="15" hidden="false" customHeight="false" outlineLevel="0" collapsed="false">
      <c r="B20" s="5" t="s">
        <v>26</v>
      </c>
      <c r="C20" s="6" t="n">
        <v>0</v>
      </c>
      <c r="D20" s="7" t="s">
        <v>27</v>
      </c>
    </row>
    <row r="21" customFormat="false" ht="15" hidden="false" customHeight="false" outlineLevel="0" collapsed="false">
      <c r="B21" s="5" t="s">
        <v>28</v>
      </c>
      <c r="C21" s="8" t="n">
        <f aca="false">SUM(C18:C20)</f>
        <v>0</v>
      </c>
      <c r="D21" s="7"/>
    </row>
    <row r="22" customFormat="false" ht="15" hidden="false" customHeight="false" outlineLevel="0" collapsed="false">
      <c r="B22" s="9" t="s">
        <v>29</v>
      </c>
      <c r="C22" s="10" t="n">
        <f aca="false">MAX(0,C15-C21)</f>
        <v>0</v>
      </c>
      <c r="D22" s="7" t="s">
        <v>30</v>
      </c>
    </row>
    <row r="23" customFormat="false" ht="15" hidden="false" customHeight="false" outlineLevel="0" collapsed="false">
      <c r="B23" s="5" t="s">
        <v>31</v>
      </c>
      <c r="C23" s="11" t="n">
        <f aca="false">MAX(0,C21-C15)</f>
        <v>0</v>
      </c>
      <c r="D23" s="7" t="s">
        <v>32</v>
      </c>
    </row>
    <row r="25" customFormat="false" ht="15" hidden="false" customHeight="false" outlineLevel="0" collapsed="false">
      <c r="B25" s="3" t="s">
        <v>33</v>
      </c>
      <c r="C25" s="4"/>
      <c r="D25" s="4"/>
    </row>
    <row r="26" customFormat="false" ht="15" hidden="false" customHeight="false" outlineLevel="0" collapsed="false">
      <c r="B26" s="5" t="s">
        <v>34</v>
      </c>
      <c r="C26" s="6" t="n">
        <v>0</v>
      </c>
      <c r="D26" s="7" t="s">
        <v>35</v>
      </c>
    </row>
    <row r="27" customFormat="false" ht="15" hidden="false" customHeight="false" outlineLevel="0" collapsed="false">
      <c r="B27" s="5" t="s">
        <v>36</v>
      </c>
      <c r="C27" s="6" t="n">
        <v>0</v>
      </c>
      <c r="D27" s="7" t="s">
        <v>37</v>
      </c>
    </row>
    <row r="28" customFormat="false" ht="15" hidden="false" customHeight="false" outlineLevel="0" collapsed="false">
      <c r="B28" s="9" t="s">
        <v>38</v>
      </c>
      <c r="C28" s="10" t="n">
        <f aca="false">MAX(0,C22-C26-C27)</f>
        <v>0</v>
      </c>
      <c r="D28" s="7" t="s">
        <v>39</v>
      </c>
    </row>
    <row r="30" customFormat="false" ht="15" hidden="false" customHeight="false" outlineLevel="0" collapsed="false">
      <c r="B30" s="3" t="s">
        <v>40</v>
      </c>
      <c r="C30" s="4"/>
      <c r="D30" s="4"/>
    </row>
    <row r="31" customFormat="false" ht="15" hidden="false" customHeight="false" outlineLevel="0" collapsed="false">
      <c r="B31" s="5" t="s">
        <v>41</v>
      </c>
      <c r="C31" s="6" t="n">
        <v>0</v>
      </c>
      <c r="D31" s="7" t="s">
        <v>42</v>
      </c>
    </row>
    <row r="32" customFormat="false" ht="15" hidden="false" customHeight="false" outlineLevel="0" collapsed="false">
      <c r="B32" s="5" t="s">
        <v>43</v>
      </c>
      <c r="C32" s="8" t="n">
        <f aca="false">MIN(C31,C28)</f>
        <v>0</v>
      </c>
      <c r="D32" s="7" t="s">
        <v>44</v>
      </c>
    </row>
    <row r="33" customFormat="false" ht="15" hidden="false" customHeight="false" outlineLevel="0" collapsed="false">
      <c r="B33" s="5" t="s">
        <v>45</v>
      </c>
      <c r="C33" s="11" t="n">
        <f aca="false">C31-C32</f>
        <v>0</v>
      </c>
      <c r="D33" s="7" t="s">
        <v>46</v>
      </c>
    </row>
    <row r="34" customFormat="false" ht="15" hidden="false" customHeight="false" outlineLevel="0" collapsed="false">
      <c r="B34" s="12" t="s">
        <v>47</v>
      </c>
      <c r="C34" s="13" t="n">
        <f aca="false">C28-C32</f>
        <v>0</v>
      </c>
      <c r="D34" s="14" t="s">
        <v>48</v>
      </c>
    </row>
    <row r="36" customFormat="false" ht="15" hidden="false" customHeight="false" outlineLevel="0" collapsed="false">
      <c r="B36" s="3" t="s">
        <v>49</v>
      </c>
      <c r="C36" s="4"/>
      <c r="D36" s="4"/>
    </row>
    <row r="37" customFormat="false" ht="15" hidden="false" customHeight="false" outlineLevel="0" collapsed="false">
      <c r="B37" s="5" t="s">
        <v>50</v>
      </c>
      <c r="C37" s="6" t="n">
        <v>0</v>
      </c>
      <c r="D37" s="7" t="s">
        <v>51</v>
      </c>
    </row>
    <row r="38" customFormat="false" ht="15" hidden="false" customHeight="false" outlineLevel="0" collapsed="false">
      <c r="B38" s="5" t="s">
        <v>52</v>
      </c>
      <c r="C38" s="6" t="n">
        <v>0</v>
      </c>
      <c r="D38" s="7" t="s">
        <v>53</v>
      </c>
    </row>
    <row r="39" customFormat="false" ht="15" hidden="false" customHeight="false" outlineLevel="0" collapsed="false">
      <c r="B39" s="5" t="s">
        <v>54</v>
      </c>
      <c r="C39" s="6" t="n">
        <v>0</v>
      </c>
      <c r="D39" s="7" t="s">
        <v>55</v>
      </c>
    </row>
    <row r="40" customFormat="false" ht="15" hidden="false" customHeight="false" outlineLevel="0" collapsed="false">
      <c r="B40" s="9" t="s">
        <v>56</v>
      </c>
      <c r="C40" s="10" t="n">
        <f aca="false">C37+C38+C39</f>
        <v>0</v>
      </c>
      <c r="D40" s="7" t="s">
        <v>57</v>
      </c>
    </row>
    <row r="41" customFormat="false" ht="15" hidden="false" customHeight="false" outlineLevel="0" collapsed="false">
      <c r="B41" s="5" t="s">
        <v>58</v>
      </c>
      <c r="C41" s="8" t="n">
        <f aca="false">C34-C40</f>
        <v>0</v>
      </c>
      <c r="D41" s="7" t="s">
        <v>59</v>
      </c>
    </row>
    <row r="43" customFormat="false" ht="15" hidden="false" customHeight="true" outlineLevel="0" collapsed="false">
      <c r="B43" s="15" t="s">
        <v>60</v>
      </c>
      <c r="C43" s="15"/>
      <c r="D43" s="15"/>
    </row>
    <row r="44" customFormat="false" ht="15" hidden="false" customHeight="false" outlineLevel="0" collapsed="false">
      <c r="B44" s="15"/>
      <c r="C44" s="15"/>
      <c r="D44" s="15"/>
    </row>
    <row r="45" customFormat="false" ht="15" hidden="false" customHeight="false" outlineLevel="0" collapsed="false">
      <c r="B45" s="15"/>
      <c r="C45" s="15"/>
      <c r="D45" s="15"/>
    </row>
    <row r="46" customFormat="false" ht="15" hidden="false" customHeight="false" outlineLevel="0" collapsed="false">
      <c r="B46" s="15"/>
      <c r="C46" s="15"/>
      <c r="D46" s="15"/>
    </row>
  </sheetData>
  <mergeCells count="3">
    <mergeCell ref="B1:D1"/>
    <mergeCell ref="B2:D2"/>
    <mergeCell ref="B43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4" min="3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B1" s="16" t="s">
        <v>61</v>
      </c>
      <c r="C1" s="16"/>
      <c r="D1" s="16"/>
      <c r="E1" s="16"/>
    </row>
    <row r="3" customFormat="false" ht="15" hidden="false" customHeight="false" outlineLevel="0" collapsed="false">
      <c r="B3" s="17" t="s">
        <v>62</v>
      </c>
      <c r="C3" s="17"/>
      <c r="D3" s="17"/>
      <c r="E3" s="17"/>
    </row>
    <row r="4" customFormat="false" ht="15" hidden="false" customHeight="false" outlineLevel="0" collapsed="false">
      <c r="B4" s="18" t="s">
        <v>63</v>
      </c>
      <c r="C4" s="6" t="n">
        <v>-140000</v>
      </c>
      <c r="E4" s="7" t="s">
        <v>64</v>
      </c>
    </row>
    <row r="5" customFormat="false" ht="15" hidden="false" customHeight="false" outlineLevel="0" collapsed="false">
      <c r="B5" s="18" t="s">
        <v>65</v>
      </c>
      <c r="C5" s="6" t="n">
        <v>175000</v>
      </c>
      <c r="E5" s="7" t="s">
        <v>66</v>
      </c>
    </row>
    <row r="6" customFormat="false" ht="15" hidden="false" customHeight="false" outlineLevel="0" collapsed="false">
      <c r="B6" s="18" t="s">
        <v>67</v>
      </c>
      <c r="C6" s="6" t="n">
        <v>10000</v>
      </c>
      <c r="E6" s="7"/>
    </row>
    <row r="7" customFormat="false" ht="15" hidden="false" customHeight="false" outlineLevel="0" collapsed="false">
      <c r="B7" s="9" t="s">
        <v>68</v>
      </c>
      <c r="C7" s="10" t="n">
        <f aca="false">SUM(C4:C6)</f>
        <v>45000</v>
      </c>
      <c r="E7" s="7" t="s">
        <v>69</v>
      </c>
    </row>
    <row r="8" customFormat="false" ht="15" hidden="false" customHeight="false" outlineLevel="0" collapsed="false">
      <c r="B8" s="18" t="s">
        <v>70</v>
      </c>
      <c r="C8" s="6" t="n">
        <v>125000</v>
      </c>
      <c r="E8" s="7" t="s">
        <v>71</v>
      </c>
    </row>
    <row r="9" customFormat="false" ht="15" hidden="false" customHeight="false" outlineLevel="0" collapsed="false">
      <c r="B9" s="18" t="s">
        <v>72</v>
      </c>
      <c r="C9" s="8" t="n">
        <f aca="false">MIN(C8,C7)</f>
        <v>45000</v>
      </c>
      <c r="E9" s="7" t="s">
        <v>44</v>
      </c>
    </row>
    <row r="10" customFormat="false" ht="15" hidden="false" customHeight="false" outlineLevel="0" collapsed="false">
      <c r="B10" s="18" t="s">
        <v>73</v>
      </c>
      <c r="C10" s="8" t="n">
        <f aca="false">C8-C9</f>
        <v>80000</v>
      </c>
      <c r="E10" s="7" t="s">
        <v>74</v>
      </c>
    </row>
    <row r="11" customFormat="false" ht="15" hidden="false" customHeight="false" outlineLevel="0" collapsed="false">
      <c r="B11" s="19" t="s">
        <v>75</v>
      </c>
    </row>
    <row r="12" customFormat="false" ht="15" hidden="false" customHeight="false" outlineLevel="0" collapsed="false">
      <c r="B12" s="20" t="str">
        <f aca="false">IF(AND(C7=45000,C10=80000),"PASS — matches IRS","FAIL")</f>
        <v>PASS — matches IRS</v>
      </c>
      <c r="C12" s="20"/>
      <c r="D12" s="20"/>
      <c r="E12" s="20"/>
    </row>
    <row r="14" customFormat="false" ht="15" hidden="false" customHeight="false" outlineLevel="0" collapsed="false">
      <c r="B14" s="17" t="s">
        <v>76</v>
      </c>
      <c r="C14" s="17"/>
      <c r="D14" s="17"/>
      <c r="E14" s="17"/>
    </row>
    <row r="15" customFormat="false" ht="15" hidden="false" customHeight="false" outlineLevel="0" collapsed="false">
      <c r="B15" s="18" t="s">
        <v>77</v>
      </c>
      <c r="C15" s="6" t="n">
        <v>245000</v>
      </c>
      <c r="E15" s="7" t="s">
        <v>78</v>
      </c>
    </row>
    <row r="16" customFormat="false" ht="15" hidden="false" customHeight="false" outlineLevel="0" collapsed="false">
      <c r="B16" s="18" t="s">
        <v>79</v>
      </c>
      <c r="C16" s="6" t="n">
        <v>465000</v>
      </c>
      <c r="E16" s="7" t="s">
        <v>23</v>
      </c>
    </row>
    <row r="17" customFormat="false" ht="15" hidden="false" customHeight="false" outlineLevel="0" collapsed="false">
      <c r="B17" s="9" t="s">
        <v>80</v>
      </c>
      <c r="C17" s="10" t="n">
        <f aca="false">MAX(0,C16-C15)</f>
        <v>220000</v>
      </c>
      <c r="E17" s="7" t="s">
        <v>32</v>
      </c>
    </row>
    <row r="18" customFormat="false" ht="15" hidden="false" customHeight="false" outlineLevel="0" collapsed="false">
      <c r="B18" s="9" t="s">
        <v>81</v>
      </c>
      <c r="C18" s="10" t="n">
        <f aca="false">MAX(0,C15-C16)</f>
        <v>0</v>
      </c>
      <c r="E18" s="7" t="s">
        <v>39</v>
      </c>
    </row>
    <row r="19" customFormat="false" ht="15" hidden="false" customHeight="false" outlineLevel="0" collapsed="false">
      <c r="B19" s="19" t="s">
        <v>82</v>
      </c>
    </row>
    <row r="20" customFormat="false" ht="15" hidden="false" customHeight="false" outlineLevel="0" collapsed="false">
      <c r="B20" s="20" t="str">
        <f aca="false">IF(AND(C17=220000,C18=0),"PASS — matches IRS","FAIL")</f>
        <v>PASS — matches IRS</v>
      </c>
      <c r="C20" s="20"/>
      <c r="D20" s="20"/>
      <c r="E20" s="20"/>
    </row>
  </sheetData>
  <mergeCells count="5">
    <mergeCell ref="B1:E1"/>
    <mergeCell ref="B3:E3"/>
    <mergeCell ref="B12:E12"/>
    <mergeCell ref="B14:E14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16.15" hidden="false" customHeight="false" outlineLevel="0" collapsed="false">
      <c r="B1" s="21" t="s">
        <v>83</v>
      </c>
    </row>
    <row r="3" customFormat="false" ht="15" hidden="false" customHeight="false" outlineLevel="0" collapsed="false">
      <c r="B3" s="3" t="s">
        <v>84</v>
      </c>
      <c r="C3" s="3" t="s">
        <v>85</v>
      </c>
      <c r="D3" s="3" t="s">
        <v>86</v>
      </c>
    </row>
    <row r="4" customFormat="false" ht="30" hidden="false" customHeight="true" outlineLevel="0" collapsed="false">
      <c r="B4" s="22" t="s">
        <v>87</v>
      </c>
      <c r="C4" s="23" t="s">
        <v>88</v>
      </c>
      <c r="D4" s="24" t="s">
        <v>89</v>
      </c>
    </row>
    <row r="5" customFormat="false" ht="30" hidden="false" customHeight="true" outlineLevel="0" collapsed="false">
      <c r="B5" s="22" t="s">
        <v>90</v>
      </c>
      <c r="C5" s="23" t="s">
        <v>91</v>
      </c>
      <c r="D5" s="24" t="s">
        <v>92</v>
      </c>
    </row>
    <row r="6" customFormat="false" ht="30" hidden="false" customHeight="true" outlineLevel="0" collapsed="false">
      <c r="B6" s="22" t="s">
        <v>93</v>
      </c>
      <c r="C6" s="23" t="s">
        <v>94</v>
      </c>
      <c r="D6" s="24" t="s">
        <v>95</v>
      </c>
    </row>
    <row r="7" customFormat="false" ht="30" hidden="false" customHeight="true" outlineLevel="0" collapsed="false">
      <c r="B7" s="22" t="s">
        <v>96</v>
      </c>
      <c r="C7" s="23" t="s">
        <v>97</v>
      </c>
      <c r="D7" s="24" t="s">
        <v>98</v>
      </c>
    </row>
    <row r="8" customFormat="false" ht="30" hidden="false" customHeight="true" outlineLevel="0" collapsed="false">
      <c r="B8" s="22" t="s">
        <v>99</v>
      </c>
      <c r="C8" s="23" t="s">
        <v>11</v>
      </c>
      <c r="D8" s="24" t="s">
        <v>100</v>
      </c>
    </row>
    <row r="9" customFormat="false" ht="30" hidden="false" customHeight="true" outlineLevel="0" collapsed="false">
      <c r="B9" s="22" t="s">
        <v>101</v>
      </c>
      <c r="C9" s="23" t="s">
        <v>102</v>
      </c>
      <c r="D9" s="24" t="s">
        <v>103</v>
      </c>
    </row>
    <row r="10" customFormat="false" ht="30" hidden="false" customHeight="true" outlineLevel="0" collapsed="false">
      <c r="B10" s="22" t="s">
        <v>104</v>
      </c>
      <c r="C10" s="23" t="s">
        <v>25</v>
      </c>
      <c r="D10" s="24" t="s">
        <v>105</v>
      </c>
    </row>
    <row r="11" customFormat="false" ht="30" hidden="false" customHeight="true" outlineLevel="0" collapsed="false">
      <c r="B11" s="22" t="s">
        <v>106</v>
      </c>
      <c r="C11" s="23" t="s">
        <v>27</v>
      </c>
      <c r="D11" s="24" t="s">
        <v>107</v>
      </c>
    </row>
    <row r="12" customFormat="false" ht="30" hidden="false" customHeight="true" outlineLevel="0" collapsed="false">
      <c r="B12" s="22" t="s">
        <v>108</v>
      </c>
      <c r="C12" s="23" t="s">
        <v>109</v>
      </c>
      <c r="D12" s="24" t="s">
        <v>110</v>
      </c>
    </row>
    <row r="13" customFormat="false" ht="30" hidden="false" customHeight="true" outlineLevel="0" collapsed="false">
      <c r="B13" s="22" t="s">
        <v>111</v>
      </c>
      <c r="C13" s="23" t="s">
        <v>112</v>
      </c>
      <c r="D13" s="24" t="s">
        <v>113</v>
      </c>
    </row>
    <row r="14" customFormat="false" ht="30" hidden="false" customHeight="true" outlineLevel="0" collapsed="false">
      <c r="B14" s="22" t="s">
        <v>114</v>
      </c>
      <c r="C14" s="23" t="s">
        <v>32</v>
      </c>
      <c r="D14" s="24" t="s">
        <v>115</v>
      </c>
    </row>
    <row r="15" customFormat="false" ht="30" hidden="false" customHeight="true" outlineLevel="0" collapsed="false">
      <c r="B15" s="22" t="s">
        <v>116</v>
      </c>
      <c r="C15" s="23" t="s">
        <v>117</v>
      </c>
      <c r="D15" s="24" t="s">
        <v>118</v>
      </c>
    </row>
    <row r="16" customFormat="false" ht="30" hidden="false" customHeight="true" outlineLevel="0" collapsed="false">
      <c r="B16" s="22" t="s">
        <v>119</v>
      </c>
      <c r="C16" s="23" t="s">
        <v>120</v>
      </c>
      <c r="D16" s="24" t="s">
        <v>121</v>
      </c>
    </row>
    <row r="17" customFormat="false" ht="30" hidden="false" customHeight="true" outlineLevel="0" collapsed="false">
      <c r="B17" s="22" t="s">
        <v>122</v>
      </c>
      <c r="C17" s="23" t="s">
        <v>123</v>
      </c>
      <c r="D17" s="24" t="s">
        <v>124</v>
      </c>
    </row>
    <row r="19" customFormat="false" ht="15" hidden="false" customHeight="false" outlineLevel="0" collapsed="false">
      <c r="B19" s="17" t="s">
        <v>125</v>
      </c>
      <c r="C19" s="17"/>
      <c r="D19" s="17"/>
    </row>
    <row r="20" customFormat="false" ht="15" hidden="false" customHeight="true" outlineLevel="0" collapsed="false">
      <c r="B20" s="25" t="s">
        <v>126</v>
      </c>
      <c r="C20" s="25"/>
      <c r="D20" s="25"/>
    </row>
    <row r="21" customFormat="false" ht="15" hidden="false" customHeight="false" outlineLevel="0" collapsed="false">
      <c r="B21" s="25"/>
      <c r="C21" s="25"/>
      <c r="D21" s="25"/>
    </row>
    <row r="22" customFormat="false" ht="15" hidden="false" customHeight="false" outlineLevel="0" collapsed="false">
      <c r="B22" s="25"/>
      <c r="C22" s="25"/>
      <c r="D22" s="25"/>
    </row>
    <row r="23" customFormat="false" ht="15" hidden="false" customHeight="false" outlineLevel="0" collapsed="false">
      <c r="B23" s="25"/>
      <c r="C23" s="25"/>
      <c r="D23" s="25"/>
    </row>
    <row r="24" customFormat="false" ht="15" hidden="false" customHeight="false" outlineLevel="0" collapsed="false">
      <c r="B24" s="25"/>
      <c r="C24" s="25"/>
      <c r="D24" s="25"/>
    </row>
    <row r="25" customFormat="false" ht="15" hidden="false" customHeight="false" outlineLevel="0" collapsed="false">
      <c r="B25" s="25"/>
      <c r="C25" s="25"/>
      <c r="D25" s="25"/>
    </row>
    <row r="26" customFormat="false" ht="15" hidden="false" customHeight="false" outlineLevel="0" collapsed="false">
      <c r="B26" s="25"/>
      <c r="C26" s="25"/>
      <c r="D26" s="25"/>
    </row>
  </sheetData>
  <mergeCells count="2">
    <mergeCell ref="B19:D19"/>
    <mergeCell ref="B20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2026-06-16T19:59:06Z</dcterms:created>
  <dc:creator>openpyxl</dc:creator>
  <dc:description/>
  <dc:language>en-US</dc:language>
  <cp:lastModifiedBy/>
  <dcterms:modified xsi:type="dcterms:W3CDTF">2026-06-16T19:59:06Z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